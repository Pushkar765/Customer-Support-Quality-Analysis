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w(Tickets)" sheetId="1" r:id="rId5"/>
    <sheet state="visible" name="Lookup" sheetId="2" r:id="rId6"/>
    <sheet state="visible" name="Cleaned" sheetId="3" r:id="rId7"/>
    <sheet state="visible" name="Summary" sheetId="4" r:id="rId8"/>
  </sheets>
  <definedNames/>
  <calcPr/>
  <pivotCaches>
    <pivotCache cacheId="0" r:id="rId9"/>
  </pivotCaches>
</workbook>
</file>

<file path=xl/sharedStrings.xml><?xml version="1.0" encoding="utf-8"?>
<sst xmlns="http://schemas.openxmlformats.org/spreadsheetml/2006/main" count="119" uniqueCount="29">
  <si>
    <t>ticket_id</t>
  </si>
  <si>
    <t>team_id</t>
  </si>
  <si>
    <t>month</t>
  </si>
  <si>
    <t>channel</t>
  </si>
  <si>
    <t>resolution_hours</t>
  </si>
  <si>
    <t>satisfaction</t>
  </si>
  <si>
    <t>team</t>
  </si>
  <si>
    <t>department</t>
  </si>
  <si>
    <t>Jan</t>
  </si>
  <si>
    <t>T1</t>
  </si>
  <si>
    <t>Email</t>
  </si>
  <si>
    <t>AccountCare</t>
  </si>
  <si>
    <t>Breach_Flag</t>
  </si>
  <si>
    <t>Service</t>
  </si>
  <si>
    <t>T2</t>
  </si>
  <si>
    <t>Chat</t>
  </si>
  <si>
    <t>BillingHelp</t>
  </si>
  <si>
    <t>T3</t>
  </si>
  <si>
    <t>AppSupport</t>
  </si>
  <si>
    <t>Phone</t>
  </si>
  <si>
    <t>Technical</t>
  </si>
  <si>
    <t>T4</t>
  </si>
  <si>
    <t>DeviceHelp</t>
  </si>
  <si>
    <t>Feb</t>
  </si>
  <si>
    <t>Mar</t>
  </si>
  <si>
    <t>Channel</t>
  </si>
  <si>
    <t>Breached_Tickets</t>
  </si>
  <si>
    <t>AVERAGE of resolution_hours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</si>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</sst>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Feb, Jan, Mar and Grand Total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Summary!$E$1:$E$2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Summary!$D$3:$D$5</c:f>
            </c:strRef>
          </c:cat>
          <c:val>
            <c:numRef>
              <c:f>Summary!$E$3:$E$5</c:f>
              <c:numCache/>
            </c:numRef>
          </c:val>
        </c:ser>
        <c:ser>
          <c:idx val="1"/>
          <c:order val="1"/>
          <c:tx>
            <c:strRef>
              <c:f>Summary!$F$1:$F$2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Summary!$D$3:$D$5</c:f>
            </c:strRef>
          </c:cat>
          <c:val>
            <c:numRef>
              <c:f>Summary!$F$3:$F$5</c:f>
              <c:numCache/>
            </c:numRef>
          </c:val>
        </c:ser>
        <c:ser>
          <c:idx val="2"/>
          <c:order val="2"/>
          <c:tx>
            <c:strRef>
              <c:f>Summary!$G$1:$G$2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Summary!$D$3:$D$5</c:f>
            </c:strRef>
          </c:cat>
          <c:val>
            <c:numRef>
              <c:f>Summary!$G$3:$G$5</c:f>
              <c:numCache/>
            </c:numRef>
          </c:val>
        </c:ser>
        <c:ser>
          <c:idx val="3"/>
          <c:order val="3"/>
          <c:tx>
            <c:strRef>
              <c:f>Summary!$H$1:$H$2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cat>
            <c:strRef>
              <c:f>Summary!$D$3:$D$5</c:f>
            </c:strRef>
          </c:cat>
          <c:val>
            <c:numRef>
              <c:f>Summary!$H$3:$H$5</c:f>
              <c:numCache/>
            </c:numRef>
          </c:val>
        </c:ser>
        <c:axId val="891634504"/>
        <c:axId val="731611593"/>
      </c:barChart>
      <c:catAx>
        <c:axId val="891634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department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731611593"/>
      </c:catAx>
      <c:valAx>
        <c:axId val="7316115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891634504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952500</xdr:colOff>
      <xdr:row>0</xdr:row>
      <xdr:rowOff>0</xdr:rowOff>
    </xdr:from>
    <xdr:ext cx="5772150" cy="36290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13" sheet="Cleaned"/>
  </cacheSource>
  <cacheFields>
    <cacheField name="ticket_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</sharedItems>
    </cacheField>
    <cacheField name="month" numFmtId="0">
      <sharedItems>
        <s v="Jan"/>
        <s v="Feb"/>
        <s v="Mar"/>
      </sharedItems>
    </cacheField>
    <cacheField name="team_id" numFmtId="0">
      <sharedItems>
        <s v="T1"/>
        <s v="T2"/>
        <s v="T3"/>
        <s v="T4"/>
      </sharedItems>
    </cacheField>
    <cacheField name="channel" numFmtId="0">
      <sharedItems>
        <s v="Email"/>
        <s v="Chat"/>
        <s v="Phone"/>
      </sharedItems>
    </cacheField>
    <cacheField name="resolution_hours" numFmtId="0">
      <sharedItems containsSemiMixedTypes="0" containsString="0" containsNumber="1" containsInteger="1">
        <n v="12.0"/>
        <n v="28.0"/>
        <n v="36.0"/>
        <n v="20.0"/>
        <n v="8.0"/>
        <n v="30.0"/>
        <n v="18.0"/>
        <n v="40.0"/>
        <n v="16.0"/>
        <n v="22.0"/>
        <n v="32.0"/>
        <n v="24.0"/>
      </sharedItems>
    </cacheField>
    <cacheField name="satisfaction" numFmtId="0">
      <sharedItems containsSemiMixedTypes="0" containsString="0" containsNumber="1" containsInteger="1">
        <n v="4.0"/>
        <n v="3.0"/>
        <n v="2.0"/>
        <n v="5.0"/>
      </sharedItems>
    </cacheField>
    <cacheField name="department" numFmtId="0">
      <sharedItems>
        <s v="Service"/>
        <s v="Technical"/>
      </sharedItems>
    </cacheField>
    <cacheField name="Breach_Flag" numFmtId="0">
      <sharedItems containsSemiMixedTypes="0" containsString="0" containsNumber="1" containsInteger="1">
        <n v="0.0"/>
        <n v="1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ummary" cacheId="0" dataCaption="" compact="0" compactData="0">
  <location ref="D1:H5" firstHeaderRow="0" firstDataRow="1" firstDataCol="1"/>
  <pivotFields>
    <pivotField name="ticke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onth" axis="axisCol" compact="0" outline="0" multipleItemSelectionAllowed="1" showAll="0" sortType="ascending">
      <items>
        <item x="1"/>
        <item x="0"/>
        <item x="2"/>
        <item t="default"/>
      </items>
    </pivotField>
    <pivotField name="team_id" compact="0" outline="0" multipleItemSelectionAllowed="1" showAll="0">
      <items>
        <item x="0"/>
        <item x="1"/>
        <item x="2"/>
        <item x="3"/>
        <item t="default"/>
      </items>
    </pivotField>
    <pivotField name="channel" compact="0" outline="0" multipleItemSelectionAllowed="1" showAll="0">
      <items>
        <item x="0"/>
        <item x="1"/>
        <item x="2"/>
        <item t="default"/>
      </items>
    </pivotField>
    <pivotField name="resolution_hour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tisfaction" compact="0" outline="0" multipleItemSelectionAllowed="1" showAll="0">
      <items>
        <item x="0"/>
        <item x="1"/>
        <item x="2"/>
        <item x="3"/>
        <item t="default"/>
      </items>
    </pivotField>
    <pivotField name="department" axis="axisRow" compact="0" outline="0" multipleItemSelectionAllowed="1" showAll="0" sortType="ascending">
      <items>
        <item x="0"/>
        <item x="1"/>
        <item t="default"/>
      </items>
    </pivotField>
    <pivotField name="Breach_Flag" compact="0" outline="0" multipleItemSelectionAllowed="1" showAll="0">
      <items>
        <item x="0"/>
        <item x="1"/>
        <item t="default"/>
      </items>
    </pivotField>
  </pivotFields>
  <rowFields>
    <field x="6"/>
  </rowFields>
  <colFields>
    <field x="1"/>
  </colFields>
  <dataFields>
    <dataField name="AVERAGE of resolution_hours" fld="4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5</v>
      </c>
    </row>
    <row r="2" ht="15.75" customHeight="1">
      <c r="A2" s="1">
        <v>1.0</v>
      </c>
      <c r="B2" s="1" t="s">
        <v>8</v>
      </c>
      <c r="C2" s="1" t="s">
        <v>9</v>
      </c>
      <c r="D2" s="1" t="s">
        <v>10</v>
      </c>
      <c r="E2" s="1">
        <v>12.0</v>
      </c>
      <c r="F2" s="1">
        <v>4.0</v>
      </c>
    </row>
    <row r="3" ht="15.75" customHeight="1">
      <c r="A3" s="1">
        <v>2.0</v>
      </c>
      <c r="B3" s="1" t="s">
        <v>8</v>
      </c>
      <c r="C3" s="1" t="s">
        <v>14</v>
      </c>
      <c r="D3" s="1" t="s">
        <v>15</v>
      </c>
      <c r="E3" s="1">
        <v>28.0</v>
      </c>
      <c r="F3" s="1">
        <v>3.0</v>
      </c>
    </row>
    <row r="4" ht="15.75" customHeight="1">
      <c r="A4" s="1">
        <v>3.0</v>
      </c>
      <c r="B4" s="1" t="s">
        <v>8</v>
      </c>
      <c r="C4" s="1" t="s">
        <v>17</v>
      </c>
      <c r="D4" s="1" t="s">
        <v>19</v>
      </c>
      <c r="E4" s="1">
        <v>36.0</v>
      </c>
      <c r="F4" s="1">
        <v>2.0</v>
      </c>
    </row>
    <row r="5" ht="15.75" customHeight="1">
      <c r="A5" s="1">
        <v>4.0</v>
      </c>
      <c r="B5" s="1" t="s">
        <v>8</v>
      </c>
      <c r="C5" s="1" t="s">
        <v>21</v>
      </c>
      <c r="D5" s="1" t="s">
        <v>10</v>
      </c>
      <c r="E5" s="1">
        <v>20.0</v>
      </c>
      <c r="F5" s="1">
        <v>4.0</v>
      </c>
    </row>
    <row r="6" ht="15.75" customHeight="1">
      <c r="A6" s="1">
        <v>5.0</v>
      </c>
      <c r="B6" s="1" t="s">
        <v>23</v>
      </c>
      <c r="C6" s="1" t="s">
        <v>9</v>
      </c>
      <c r="D6" s="1" t="s">
        <v>15</v>
      </c>
      <c r="E6" s="1">
        <v>8.0</v>
      </c>
      <c r="F6" s="1">
        <v>5.0</v>
      </c>
    </row>
    <row r="7" ht="15.75" customHeight="1">
      <c r="A7" s="1">
        <v>6.0</v>
      </c>
      <c r="B7" s="1" t="s">
        <v>23</v>
      </c>
      <c r="C7" s="1" t="s">
        <v>14</v>
      </c>
      <c r="D7" s="1" t="s">
        <v>19</v>
      </c>
      <c r="E7" s="1">
        <v>30.0</v>
      </c>
      <c r="F7" s="1">
        <v>3.0</v>
      </c>
    </row>
    <row r="8" ht="15.75" customHeight="1">
      <c r="A8" s="1">
        <v>7.0</v>
      </c>
      <c r="B8" s="1" t="s">
        <v>23</v>
      </c>
      <c r="C8" s="1" t="s">
        <v>17</v>
      </c>
      <c r="D8" s="1" t="s">
        <v>10</v>
      </c>
      <c r="E8" s="1">
        <v>18.0</v>
      </c>
      <c r="F8" s="1">
        <v>4.0</v>
      </c>
    </row>
    <row r="9" ht="15.75" customHeight="1">
      <c r="A9" s="1">
        <v>8.0</v>
      </c>
      <c r="B9" s="1" t="s">
        <v>23</v>
      </c>
      <c r="C9" s="1" t="s">
        <v>21</v>
      </c>
      <c r="D9" s="1" t="s">
        <v>15</v>
      </c>
      <c r="E9" s="1">
        <v>40.0</v>
      </c>
      <c r="F9" s="1">
        <v>2.0</v>
      </c>
    </row>
    <row r="10" ht="15.75" customHeight="1">
      <c r="A10" s="1">
        <v>9.0</v>
      </c>
      <c r="B10" s="1" t="s">
        <v>24</v>
      </c>
      <c r="C10" s="1" t="s">
        <v>9</v>
      </c>
      <c r="D10" s="1" t="s">
        <v>19</v>
      </c>
      <c r="E10" s="1">
        <v>16.0</v>
      </c>
      <c r="F10" s="1">
        <v>4.0</v>
      </c>
    </row>
    <row r="11" ht="15.75" customHeight="1">
      <c r="A11" s="1">
        <v>10.0</v>
      </c>
      <c r="B11" s="1" t="s">
        <v>24</v>
      </c>
      <c r="C11" s="1" t="s">
        <v>14</v>
      </c>
      <c r="D11" s="1" t="s">
        <v>10</v>
      </c>
      <c r="E11" s="1">
        <v>22.0</v>
      </c>
      <c r="F11" s="1">
        <v>4.0</v>
      </c>
    </row>
    <row r="12" ht="15.75" customHeight="1">
      <c r="A12" s="1">
        <v>11.0</v>
      </c>
      <c r="B12" s="1" t="s">
        <v>24</v>
      </c>
      <c r="C12" s="1" t="s">
        <v>17</v>
      </c>
      <c r="D12" s="1" t="s">
        <v>15</v>
      </c>
      <c r="E12" s="1">
        <v>32.0</v>
      </c>
      <c r="F12" s="1">
        <v>3.0</v>
      </c>
    </row>
    <row r="13" ht="15.75" customHeight="1">
      <c r="A13" s="1">
        <v>12.0</v>
      </c>
      <c r="B13" s="1" t="s">
        <v>24</v>
      </c>
      <c r="C13" s="1" t="s">
        <v>21</v>
      </c>
      <c r="D13" s="1" t="s">
        <v>19</v>
      </c>
      <c r="E13" s="1">
        <v>24.0</v>
      </c>
      <c r="F13" s="1">
        <v>5.0</v>
      </c>
    </row>
    <row r="14" ht="15.75" customHeight="1">
      <c r="A14" s="1">
        <v>12.0</v>
      </c>
      <c r="B14" s="1" t="s">
        <v>24</v>
      </c>
      <c r="C14" s="1" t="s">
        <v>21</v>
      </c>
      <c r="D14" s="1" t="s">
        <v>19</v>
      </c>
      <c r="E14" s="1">
        <v>24.0</v>
      </c>
      <c r="F14" s="1">
        <v>5.0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1</v>
      </c>
      <c r="B1" s="1" t="s">
        <v>6</v>
      </c>
      <c r="C1" s="1" t="s">
        <v>7</v>
      </c>
    </row>
    <row r="2" ht="15.75" customHeight="1">
      <c r="A2" s="1" t="s">
        <v>9</v>
      </c>
      <c r="B2" s="1" t="s">
        <v>11</v>
      </c>
      <c r="C2" s="1" t="s">
        <v>13</v>
      </c>
    </row>
    <row r="3" ht="15.75" customHeight="1">
      <c r="A3" s="1" t="s">
        <v>14</v>
      </c>
      <c r="B3" s="1" t="s">
        <v>16</v>
      </c>
      <c r="C3" s="1" t="s">
        <v>13</v>
      </c>
    </row>
    <row r="4" ht="15.75" customHeight="1">
      <c r="A4" s="1" t="s">
        <v>17</v>
      </c>
      <c r="B4" s="1" t="s">
        <v>18</v>
      </c>
      <c r="C4" s="1" t="s">
        <v>20</v>
      </c>
    </row>
    <row r="5" ht="15.75" customHeight="1">
      <c r="A5" s="1" t="s">
        <v>21</v>
      </c>
      <c r="B5" s="1" t="s">
        <v>22</v>
      </c>
      <c r="C5" s="1" t="s">
        <v>20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  <col customWidth="1" min="5" max="5" width="13.38"/>
    <col customWidth="1" min="6" max="6" width="12.63"/>
    <col customWidth="1" min="8" max="8" width="23.25"/>
  </cols>
  <sheetData>
    <row r="1" ht="15.75" customHeight="1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12</v>
      </c>
    </row>
    <row r="2" ht="15.75" customHeight="1">
      <c r="A2" s="1">
        <v>1.0</v>
      </c>
      <c r="B2" s="1" t="s">
        <v>8</v>
      </c>
      <c r="C2" s="1" t="s">
        <v>9</v>
      </c>
      <c r="D2" s="1" t="s">
        <v>10</v>
      </c>
      <c r="E2" s="1">
        <v>12.0</v>
      </c>
      <c r="F2" s="1">
        <v>4.0</v>
      </c>
      <c r="G2" s="1" t="str">
        <f t="array" ref="G2">_xlfn.XLOOKUP(C2,Lookup!$A$2:$A$5,Lookup!$C$2:$C$5)</f>
        <v>Service</v>
      </c>
      <c r="H2" s="1">
        <f t="shared" ref="H2:H13" si="1">IF(E2&gt;24,1,0)</f>
        <v>0</v>
      </c>
    </row>
    <row r="3" ht="15.75" customHeight="1">
      <c r="A3" s="1">
        <v>2.0</v>
      </c>
      <c r="B3" s="1" t="s">
        <v>8</v>
      </c>
      <c r="C3" s="1" t="s">
        <v>14</v>
      </c>
      <c r="D3" s="1" t="s">
        <v>15</v>
      </c>
      <c r="E3" s="1">
        <v>28.0</v>
      </c>
      <c r="F3" s="1">
        <v>3.0</v>
      </c>
      <c r="G3" s="1" t="str">
        <f t="array" ref="G3">_xlfn.XLOOKUP(C3,Lookup!$A$2:$A$5,Lookup!$C$2:$C$5)</f>
        <v>Service</v>
      </c>
      <c r="H3" s="1">
        <f t="shared" si="1"/>
        <v>1</v>
      </c>
    </row>
    <row r="4" ht="15.75" customHeight="1">
      <c r="A4" s="1">
        <v>3.0</v>
      </c>
      <c r="B4" s="1" t="s">
        <v>8</v>
      </c>
      <c r="C4" s="1" t="s">
        <v>17</v>
      </c>
      <c r="D4" s="1" t="s">
        <v>19</v>
      </c>
      <c r="E4" s="1">
        <v>36.0</v>
      </c>
      <c r="F4" s="1">
        <v>2.0</v>
      </c>
      <c r="G4" s="1" t="str">
        <f t="array" ref="G4">_xlfn.XLOOKUP(C4,Lookup!$A$2:$A$5,Lookup!$C$2:$C$5)</f>
        <v>Technical</v>
      </c>
      <c r="H4" s="1">
        <f t="shared" si="1"/>
        <v>1</v>
      </c>
    </row>
    <row r="5" ht="15.75" customHeight="1">
      <c r="A5" s="1">
        <v>4.0</v>
      </c>
      <c r="B5" s="1" t="s">
        <v>8</v>
      </c>
      <c r="C5" s="1" t="s">
        <v>21</v>
      </c>
      <c r="D5" s="1" t="s">
        <v>10</v>
      </c>
      <c r="E5" s="1">
        <v>20.0</v>
      </c>
      <c r="F5" s="1">
        <v>4.0</v>
      </c>
      <c r="G5" s="1" t="str">
        <f t="array" ref="G5">_xlfn.XLOOKUP(C5,Lookup!$A$2:$A$5,Lookup!$C$2:$C$5)</f>
        <v>Technical</v>
      </c>
      <c r="H5" s="1">
        <f t="shared" si="1"/>
        <v>0</v>
      </c>
    </row>
    <row r="6" ht="15.75" customHeight="1">
      <c r="A6" s="1">
        <v>5.0</v>
      </c>
      <c r="B6" s="1" t="s">
        <v>23</v>
      </c>
      <c r="C6" s="1" t="s">
        <v>9</v>
      </c>
      <c r="D6" s="1" t="s">
        <v>15</v>
      </c>
      <c r="E6" s="1">
        <v>8.0</v>
      </c>
      <c r="F6" s="1">
        <v>5.0</v>
      </c>
      <c r="G6" s="1" t="str">
        <f t="array" ref="G6">_xlfn.XLOOKUP(C6,Lookup!$A$2:$A$5,Lookup!$C$2:$C$5)</f>
        <v>Service</v>
      </c>
      <c r="H6" s="1">
        <f t="shared" si="1"/>
        <v>0</v>
      </c>
    </row>
    <row r="7" ht="15.75" customHeight="1">
      <c r="A7" s="1">
        <v>6.0</v>
      </c>
      <c r="B7" s="1" t="s">
        <v>23</v>
      </c>
      <c r="C7" s="1" t="s">
        <v>14</v>
      </c>
      <c r="D7" s="1" t="s">
        <v>19</v>
      </c>
      <c r="E7" s="1">
        <v>30.0</v>
      </c>
      <c r="F7" s="1">
        <v>3.0</v>
      </c>
      <c r="G7" s="1" t="str">
        <f t="array" ref="G7">_xlfn.XLOOKUP(C7,Lookup!$A$2:$A$5,Lookup!$C$2:$C$5)</f>
        <v>Service</v>
      </c>
      <c r="H7" s="1">
        <f t="shared" si="1"/>
        <v>1</v>
      </c>
    </row>
    <row r="8" ht="15.75" customHeight="1">
      <c r="A8" s="1">
        <v>7.0</v>
      </c>
      <c r="B8" s="1" t="s">
        <v>23</v>
      </c>
      <c r="C8" s="1" t="s">
        <v>17</v>
      </c>
      <c r="D8" s="1" t="s">
        <v>10</v>
      </c>
      <c r="E8" s="1">
        <v>18.0</v>
      </c>
      <c r="F8" s="1">
        <v>4.0</v>
      </c>
      <c r="G8" s="1" t="str">
        <f t="array" ref="G8">_xlfn.XLOOKUP(C8,Lookup!$A$2:$A$5,Lookup!$C$2:$C$5)</f>
        <v>Technical</v>
      </c>
      <c r="H8" s="1">
        <f t="shared" si="1"/>
        <v>0</v>
      </c>
    </row>
    <row r="9" ht="15.75" customHeight="1">
      <c r="A9" s="1">
        <v>8.0</v>
      </c>
      <c r="B9" s="1" t="s">
        <v>23</v>
      </c>
      <c r="C9" s="1" t="s">
        <v>21</v>
      </c>
      <c r="D9" s="1" t="s">
        <v>15</v>
      </c>
      <c r="E9" s="1">
        <v>40.0</v>
      </c>
      <c r="F9" s="1">
        <v>2.0</v>
      </c>
      <c r="G9" s="1" t="str">
        <f t="array" ref="G9">_xlfn.XLOOKUP(C9,Lookup!$A$2:$A$5,Lookup!$C$2:$C$5)</f>
        <v>Technical</v>
      </c>
      <c r="H9" s="1">
        <f t="shared" si="1"/>
        <v>1</v>
      </c>
    </row>
    <row r="10" ht="15.75" customHeight="1">
      <c r="A10" s="1">
        <v>9.0</v>
      </c>
      <c r="B10" s="1" t="s">
        <v>24</v>
      </c>
      <c r="C10" s="1" t="s">
        <v>9</v>
      </c>
      <c r="D10" s="1" t="s">
        <v>19</v>
      </c>
      <c r="E10" s="1">
        <v>16.0</v>
      </c>
      <c r="F10" s="1">
        <v>4.0</v>
      </c>
      <c r="G10" s="1" t="str">
        <f t="array" ref="G10">_xlfn.XLOOKUP(C10,Lookup!$A$2:$A$5,Lookup!$C$2:$C$5)</f>
        <v>Service</v>
      </c>
      <c r="H10" s="1">
        <f t="shared" si="1"/>
        <v>0</v>
      </c>
    </row>
    <row r="11" ht="15.75" customHeight="1">
      <c r="A11" s="1">
        <v>10.0</v>
      </c>
      <c r="B11" s="1" t="s">
        <v>24</v>
      </c>
      <c r="C11" s="1" t="s">
        <v>14</v>
      </c>
      <c r="D11" s="1" t="s">
        <v>10</v>
      </c>
      <c r="E11" s="1">
        <v>22.0</v>
      </c>
      <c r="F11" s="1">
        <v>4.0</v>
      </c>
      <c r="G11" s="1" t="str">
        <f t="array" ref="G11">_xlfn.XLOOKUP(C11,Lookup!$A$2:$A$5,Lookup!$C$2:$C$5)</f>
        <v>Service</v>
      </c>
      <c r="H11" s="1">
        <f t="shared" si="1"/>
        <v>0</v>
      </c>
    </row>
    <row r="12" ht="15.75" customHeight="1">
      <c r="A12" s="1">
        <v>11.0</v>
      </c>
      <c r="B12" s="1" t="s">
        <v>24</v>
      </c>
      <c r="C12" s="1" t="s">
        <v>17</v>
      </c>
      <c r="D12" s="1" t="s">
        <v>15</v>
      </c>
      <c r="E12" s="1">
        <v>32.0</v>
      </c>
      <c r="F12" s="1">
        <v>3.0</v>
      </c>
      <c r="G12" s="1" t="str">
        <f t="array" ref="G12">_xlfn.XLOOKUP(C12,Lookup!$A$2:$A$5,Lookup!$C$2:$C$5)</f>
        <v>Technical</v>
      </c>
      <c r="H12" s="1">
        <f t="shared" si="1"/>
        <v>1</v>
      </c>
    </row>
    <row r="13" ht="15.75" customHeight="1">
      <c r="A13" s="1">
        <v>12.0</v>
      </c>
      <c r="B13" s="1" t="s">
        <v>24</v>
      </c>
      <c r="C13" s="1" t="s">
        <v>21</v>
      </c>
      <c r="D13" s="1" t="s">
        <v>19</v>
      </c>
      <c r="E13" s="1">
        <v>24.0</v>
      </c>
      <c r="F13" s="1">
        <v>5.0</v>
      </c>
      <c r="G13" s="1" t="str">
        <f t="array" ref="G13">_xlfn.XLOOKUP(C13,Lookup!$A$2:$A$5,Lookup!$C$2:$C$5)</f>
        <v>Technical</v>
      </c>
      <c r="H13" s="1">
        <f t="shared" si="1"/>
        <v>0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4.25"/>
    <col customWidth="1" min="3" max="3" width="12.63"/>
    <col customWidth="1" min="4" max="4" width="23.63"/>
    <col customWidth="1" min="5" max="5" width="5.63"/>
    <col customWidth="1" min="6" max="6" width="3.63"/>
  </cols>
  <sheetData>
    <row r="1" ht="15.75" customHeight="1">
      <c r="A1" s="2" t="s">
        <v>25</v>
      </c>
      <c r="B1" s="1" t="s">
        <v>26</v>
      </c>
    </row>
    <row r="2" ht="15.75" customHeight="1">
      <c r="A2" s="2" t="s">
        <v>10</v>
      </c>
      <c r="B2" s="1">
        <f>SUMIFS(Cleaned!$H:$H,Cleaned!$D:$D,A2)</f>
        <v>0</v>
      </c>
    </row>
    <row r="3" ht="15.75" customHeight="1">
      <c r="A3" s="2" t="s">
        <v>15</v>
      </c>
      <c r="B3" s="1">
        <f>SUMIFS(Cleaned!$H:$H,Cleaned!$D:$D,A3)</f>
        <v>3</v>
      </c>
    </row>
    <row r="4" ht="15.75" customHeight="1">
      <c r="A4" s="4" t="s">
        <v>19</v>
      </c>
      <c r="B4" s="1">
        <f>SUMIFS(Cleaned!$H:$H,Cleaned!$D:$D,A4)</f>
        <v>2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</worksheet>
</file>